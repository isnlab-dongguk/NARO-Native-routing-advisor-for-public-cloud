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skskd\Desktop\학부연구생\실험계획\results\최종 결과\"/>
    </mc:Choice>
  </mc:AlternateContent>
  <xr:revisionPtr revIDLastSave="19" documentId="13_ncr:1_{D1678521-036A-4125-BDCB-34C044152ACD}" xr6:coauthVersionLast="47" xr6:coauthVersionMax="47" xr10:uidLastSave="{DE007B0B-1205-43A7-9C49-D05C144E54FE}"/>
  <bookViews>
    <workbookView xWindow="28680" yWindow="-120" windowWidth="38640" windowHeight="15720" activeTab="3" xr2:uid="{FAE8EF2A-F85A-4186-BFC9-18592A43D065}"/>
  </bookViews>
  <sheets>
    <sheet name="실험1" sheetId="1" r:id="rId1"/>
    <sheet name="VXLAN" sheetId="2" r:id="rId2"/>
    <sheet name="HOST" sheetId="3" r:id="rId3"/>
    <sheet name="STATIC" sheetId="4" r:id="rId4"/>
    <sheet name="DYNAMIC" sheetId="5" r:id="rId5"/>
    <sheet name="CLOUD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" i="6" l="1"/>
  <c r="E8" i="6"/>
  <c r="J7" i="6"/>
  <c r="E7" i="6"/>
  <c r="J6" i="6"/>
  <c r="E6" i="6"/>
  <c r="J5" i="6"/>
  <c r="E5" i="6"/>
  <c r="J4" i="6"/>
  <c r="E4" i="6"/>
  <c r="J3" i="6"/>
  <c r="E3" i="6"/>
  <c r="J8" i="5"/>
  <c r="E8" i="5"/>
  <c r="J7" i="5"/>
  <c r="E7" i="5"/>
  <c r="J6" i="5"/>
  <c r="E6" i="5"/>
  <c r="J5" i="5"/>
  <c r="E5" i="5"/>
  <c r="J4" i="5"/>
  <c r="E4" i="5"/>
  <c r="J3" i="5"/>
  <c r="E3" i="5"/>
  <c r="J8" i="4"/>
  <c r="E8" i="4"/>
  <c r="J7" i="4"/>
  <c r="E7" i="4"/>
  <c r="J6" i="4"/>
  <c r="E6" i="4"/>
  <c r="J5" i="4"/>
  <c r="E5" i="4"/>
  <c r="J4" i="4"/>
  <c r="E4" i="4"/>
  <c r="J3" i="4"/>
  <c r="E3" i="4"/>
  <c r="J8" i="3"/>
  <c r="E8" i="3"/>
  <c r="J7" i="3"/>
  <c r="E7" i="3"/>
  <c r="J6" i="3"/>
  <c r="E6" i="3"/>
  <c r="J5" i="3"/>
  <c r="E5" i="3"/>
  <c r="J4" i="3"/>
  <c r="E4" i="3"/>
  <c r="J3" i="3"/>
  <c r="E3" i="3"/>
  <c r="J4" i="2"/>
  <c r="J5" i="2"/>
  <c r="J6" i="2"/>
  <c r="J7" i="2"/>
  <c r="J8" i="2"/>
  <c r="J3" i="2"/>
  <c r="E4" i="2"/>
  <c r="E5" i="2"/>
  <c r="E6" i="2"/>
  <c r="E7" i="2"/>
  <c r="E8" i="2"/>
  <c r="E3" i="2"/>
</calcChain>
</file>

<file path=xl/sharedStrings.xml><?xml version="1.0" encoding="utf-8"?>
<sst xmlns="http://schemas.openxmlformats.org/spreadsheetml/2006/main" count="146" uniqueCount="27">
  <si>
    <t>node 4</t>
    <phoneticPr fontId="1" type="noConversion"/>
  </si>
  <si>
    <t>T0 - T1</t>
    <phoneticPr fontId="1" type="noConversion"/>
  </si>
  <si>
    <t>T1 - T2</t>
    <phoneticPr fontId="1" type="noConversion"/>
  </si>
  <si>
    <t>T2 - T3</t>
    <phoneticPr fontId="1" type="noConversion"/>
  </si>
  <si>
    <t>T3 - T4</t>
    <phoneticPr fontId="1" type="noConversion"/>
  </si>
  <si>
    <t>T4 - T5</t>
    <phoneticPr fontId="1" type="noConversion"/>
  </si>
  <si>
    <t>total</t>
    <phoneticPr fontId="1" type="noConversion"/>
  </si>
  <si>
    <t>(단위: ms)</t>
    <phoneticPr fontId="1" type="noConversion"/>
  </si>
  <si>
    <t>VXLAN</t>
    <phoneticPr fontId="1" type="noConversion"/>
  </si>
  <si>
    <t>HOST</t>
    <phoneticPr fontId="1" type="noConversion"/>
  </si>
  <si>
    <t>STATIC</t>
    <phoneticPr fontId="1" type="noConversion"/>
  </si>
  <si>
    <t>DYNAMIC</t>
    <phoneticPr fontId="1" type="noConversion"/>
  </si>
  <si>
    <t>CLOUD</t>
    <phoneticPr fontId="1" type="noConversion"/>
  </si>
  <si>
    <t>node 8</t>
    <phoneticPr fontId="1" type="noConversion"/>
  </si>
  <si>
    <t>4node</t>
    <phoneticPr fontId="1" type="noConversion"/>
  </si>
  <si>
    <t>8node</t>
    <phoneticPr fontId="1" type="noConversion"/>
  </si>
  <si>
    <t>name</t>
  </si>
  <si>
    <t>1st</t>
    <phoneticPr fontId="1" type="noConversion"/>
  </si>
  <si>
    <t>2nd</t>
    <phoneticPr fontId="1" type="noConversion"/>
  </si>
  <si>
    <t>3rd</t>
    <phoneticPr fontId="1" type="noConversion"/>
  </si>
  <si>
    <t>avg</t>
    <phoneticPr fontId="1" type="noConversion"/>
  </si>
  <si>
    <t>T0_to_T1</t>
  </si>
  <si>
    <t>T1_to_T2</t>
  </si>
  <si>
    <t>T2_to_T3</t>
  </si>
  <si>
    <t>T3_to_T4</t>
  </si>
  <si>
    <t>T4_to_T5</t>
  </si>
  <si>
    <t>T0_to_T5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</si>
</sst>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실험1!$G$2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FE-4136-8BFB-7813417904AC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FE-4136-8BFB-7813417904AC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6FE-4136-8BFB-7813417904AC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FE-4136-8BFB-7813417904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실험1!$A$3:$A$7</c:f>
              <c:strCache>
                <c:ptCount val="5"/>
                <c:pt idx="0">
                  <c:v>VXLAN</c:v>
                </c:pt>
                <c:pt idx="1">
                  <c:v>HOST</c:v>
                </c:pt>
                <c:pt idx="2">
                  <c:v>STATIC</c:v>
                </c:pt>
                <c:pt idx="3">
                  <c:v>DYNAMIC</c:v>
                </c:pt>
                <c:pt idx="4">
                  <c:v>CLOUD</c:v>
                </c:pt>
              </c:strCache>
            </c:strRef>
          </c:cat>
          <c:val>
            <c:numRef>
              <c:f>실험1!$G$3:$G$7</c:f>
              <c:numCache>
                <c:formatCode>General</c:formatCode>
                <c:ptCount val="5"/>
                <c:pt idx="0">
                  <c:v>207120.03899999999</c:v>
                </c:pt>
                <c:pt idx="1">
                  <c:v>185477.30166666667</c:v>
                </c:pt>
                <c:pt idx="2">
                  <c:v>282695.65866666666</c:v>
                </c:pt>
                <c:pt idx="3">
                  <c:v>412670.63166666665</c:v>
                </c:pt>
                <c:pt idx="4">
                  <c:v>270072.65600000002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E-4136-8BFB-7813417904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6969935"/>
        <c:axId val="621673871"/>
      </c:barChart>
      <c:catAx>
        <c:axId val="62696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1673871"/>
        <c:crosses val="autoZero"/>
        <c:auto val="1"/>
        <c:lblAlgn val="ctr"/>
        <c:lblOffset val="100"/>
        <c:noMultiLvlLbl val="0"/>
      </c:catAx>
      <c:valAx>
        <c:axId val="62167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696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실험1!$G$21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26-4EA6-BC2C-D0E3F5862CE0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F26-4EA6-BC2C-D0E3F5862CE0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26-4EA6-BC2C-D0E3F5862CE0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26-4EA6-BC2C-D0E3F5862C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실험1!$A$22:$A$26</c:f>
              <c:strCache>
                <c:ptCount val="5"/>
                <c:pt idx="0">
                  <c:v>VXLAN</c:v>
                </c:pt>
                <c:pt idx="1">
                  <c:v>HOST</c:v>
                </c:pt>
                <c:pt idx="2">
                  <c:v>STATIC</c:v>
                </c:pt>
                <c:pt idx="3">
                  <c:v>DYNAMIC</c:v>
                </c:pt>
                <c:pt idx="4">
                  <c:v>CLOUD</c:v>
                </c:pt>
              </c:strCache>
            </c:strRef>
          </c:cat>
          <c:val>
            <c:numRef>
              <c:f>실험1!$G$22:$G$26</c:f>
              <c:numCache>
                <c:formatCode>General</c:formatCode>
                <c:ptCount val="5"/>
                <c:pt idx="0">
                  <c:v>159148.96333333335</c:v>
                </c:pt>
                <c:pt idx="1">
                  <c:v>144124.04500000001</c:v>
                </c:pt>
                <c:pt idx="2">
                  <c:v>239478.60033333334</c:v>
                </c:pt>
                <c:pt idx="3">
                  <c:v>253632.88966666666</c:v>
                </c:pt>
                <c:pt idx="4">
                  <c:v>210504.68066666662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6-4EA6-BC2C-D0E3F5862C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4474303"/>
        <c:axId val="621693071"/>
      </c:barChart>
      <c:catAx>
        <c:axId val="74447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1693071"/>
        <c:crosses val="autoZero"/>
        <c:auto val="1"/>
        <c:lblAlgn val="ctr"/>
        <c:lblOffset val="100"/>
        <c:noMultiLvlLbl val="0"/>
      </c:catAx>
      <c:valAx>
        <c:axId val="62169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447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1</xdr:row>
      <xdr:rowOff>9525</xdr:rowOff>
    </xdr:from>
    <xdr:to>
      <xdr:col>23</xdr:col>
      <xdr:colOff>475192</xdr:colOff>
      <xdr:row>29</xdr:row>
      <xdr:rowOff>190500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7CBE3AC-881C-0581-2D3E-87E56B9FB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3825" y="219075"/>
          <a:ext cx="10752667" cy="6048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628649</xdr:colOff>
      <xdr:row>7</xdr:row>
      <xdr:rowOff>57150</xdr:rowOff>
    </xdr:from>
    <xdr:to>
      <xdr:col>6</xdr:col>
      <xdr:colOff>962024</xdr:colOff>
      <xdr:row>19</xdr:row>
      <xdr:rowOff>57150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0DF9EA8-D0DE-0028-C167-3272209BFC22}"/>
            </a:ext>
            <a:ext uri="{147F2762-F138-4A5C-976F-8EAC2B608ADB}">
              <a16:predDERef xmlns:a16="http://schemas.microsoft.com/office/drawing/2014/main" pred="{F7CBE3AC-881C-0581-2D3E-87E56B9FB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733425</xdr:colOff>
      <xdr:row>26</xdr:row>
      <xdr:rowOff>19050</xdr:rowOff>
    </xdr:from>
    <xdr:to>
      <xdr:col>6</xdr:col>
      <xdr:colOff>962025</xdr:colOff>
      <xdr:row>39</xdr:row>
      <xdr:rowOff>38100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C971DFC-1C1A-9C1F-6826-5EE674BCC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19E0-CEB9-468F-8823-C040AE64E716}">
  <dimension ref="A2:H26"/>
  <sheetViews>
    <sheetView workbookViewId="0">
      <selection activeCell="G4" sqref="G4"/>
    </sheetView>
  </sheetViews>
  <sheetFormatPr defaultRowHeight="16.5"/>
  <cols>
    <col min="1" max="1" width="10" bestFit="1" customWidth="1"/>
    <col min="2" max="7" width="12.75" bestFit="1" customWidth="1"/>
  </cols>
  <sheetData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8</v>
      </c>
      <c r="B3">
        <v>40647.382333333335</v>
      </c>
      <c r="C3">
        <v>135213.30533333332</v>
      </c>
      <c r="D3">
        <v>5547.9453333333331</v>
      </c>
      <c r="E3">
        <v>0</v>
      </c>
      <c r="F3">
        <v>25711.405999999999</v>
      </c>
      <c r="G3">
        <v>207120.03899999999</v>
      </c>
    </row>
    <row r="4" spans="1:8">
      <c r="A4" t="s">
        <v>9</v>
      </c>
      <c r="B4">
        <v>37453.76666666667</v>
      </c>
      <c r="C4">
        <v>127441.73833333333</v>
      </c>
      <c r="D4">
        <v>8773.8656666666666</v>
      </c>
      <c r="E4">
        <v>0</v>
      </c>
      <c r="F4">
        <v>11807.930999999999</v>
      </c>
      <c r="G4">
        <v>185477.30166666667</v>
      </c>
    </row>
    <row r="5" spans="1:8">
      <c r="A5" t="s">
        <v>10</v>
      </c>
      <c r="B5">
        <v>37633.000999999997</v>
      </c>
      <c r="C5">
        <v>132846.26199999999</v>
      </c>
      <c r="D5">
        <v>7716.0156666666662</v>
      </c>
      <c r="E5">
        <v>78416.466</v>
      </c>
      <c r="F5">
        <v>26083.914000000001</v>
      </c>
      <c r="G5">
        <v>282695.65866666666</v>
      </c>
    </row>
    <row r="6" spans="1:8">
      <c r="A6" t="s">
        <v>11</v>
      </c>
      <c r="B6">
        <v>40581.125</v>
      </c>
      <c r="C6">
        <v>132346.342</v>
      </c>
      <c r="D6">
        <v>10801.228000000001</v>
      </c>
      <c r="E6">
        <v>198104.11199999999</v>
      </c>
      <c r="F6">
        <v>30837.824666666667</v>
      </c>
      <c r="G6">
        <v>412670.63166666665</v>
      </c>
    </row>
    <row r="7" spans="1:8">
      <c r="A7" t="s">
        <v>12</v>
      </c>
      <c r="B7">
        <v>40713.486666666671</v>
      </c>
      <c r="C7">
        <v>133984.94</v>
      </c>
      <c r="D7">
        <v>6086.5113333333329</v>
      </c>
      <c r="E7">
        <v>62870.594333333334</v>
      </c>
      <c r="F7">
        <v>26417.123666666666</v>
      </c>
      <c r="G7">
        <v>270072.65600000002</v>
      </c>
    </row>
    <row r="21" spans="1:8">
      <c r="A21" t="s">
        <v>13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</row>
    <row r="22" spans="1:8">
      <c r="A22" t="s">
        <v>8</v>
      </c>
      <c r="B22">
        <v>29472.186666666665</v>
      </c>
      <c r="C22">
        <v>95657.603666666662</v>
      </c>
      <c r="D22">
        <v>6570.824333333333</v>
      </c>
      <c r="E22">
        <v>0</v>
      </c>
      <c r="F22">
        <v>27448.348666666669</v>
      </c>
      <c r="G22">
        <v>159148.96333333335</v>
      </c>
    </row>
    <row r="23" spans="1:8">
      <c r="A23" t="s">
        <v>9</v>
      </c>
      <c r="B23">
        <v>29480.320333333333</v>
      </c>
      <c r="C23">
        <v>95016.168000000005</v>
      </c>
      <c r="D23">
        <v>6568.7880000000005</v>
      </c>
      <c r="E23">
        <v>0</v>
      </c>
      <c r="F23">
        <v>13058.768666666665</v>
      </c>
      <c r="G23">
        <v>144124.04500000001</v>
      </c>
    </row>
    <row r="24" spans="1:8">
      <c r="A24" t="s">
        <v>10</v>
      </c>
      <c r="B24">
        <v>29275.956333333335</v>
      </c>
      <c r="C24">
        <v>92023.952666666664</v>
      </c>
      <c r="D24">
        <v>6717.9180000000006</v>
      </c>
      <c r="E24">
        <v>83748.754666666675</v>
      </c>
      <c r="F24">
        <v>27712.018666666667</v>
      </c>
      <c r="G24">
        <v>239478.60033333334</v>
      </c>
    </row>
    <row r="25" spans="1:8">
      <c r="A25" t="s">
        <v>11</v>
      </c>
      <c r="B25">
        <v>29399.245666666666</v>
      </c>
      <c r="C25">
        <v>94775.373333333337</v>
      </c>
      <c r="D25">
        <v>7500.3126666666676</v>
      </c>
      <c r="E25">
        <v>95403.209666666648</v>
      </c>
      <c r="F25">
        <v>26554.748333333333</v>
      </c>
      <c r="G25">
        <v>253632.88966666666</v>
      </c>
    </row>
    <row r="26" spans="1:8">
      <c r="A26" t="s">
        <v>12</v>
      </c>
      <c r="B26">
        <v>29588.061333333335</v>
      </c>
      <c r="C26">
        <v>91511.183666666664</v>
      </c>
      <c r="D26">
        <v>8171.8343333333323</v>
      </c>
      <c r="E26">
        <v>53976.348333333328</v>
      </c>
      <c r="F26">
        <v>27257.253000000001</v>
      </c>
      <c r="G26">
        <v>210504.68066666662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19DF-C5F6-4929-96BE-1647AE5011FA}">
  <dimension ref="A1:J8"/>
  <sheetViews>
    <sheetView workbookViewId="0">
      <selection activeCell="E3" sqref="E3:E8"/>
    </sheetView>
  </sheetViews>
  <sheetFormatPr defaultRowHeight="16.5"/>
  <cols>
    <col min="1" max="1" width="11.375" bestFit="1" customWidth="1"/>
    <col min="2" max="4" width="11.625" bestFit="1" customWidth="1"/>
    <col min="5" max="5" width="12.75" bestFit="1" customWidth="1"/>
    <col min="6" max="6" width="8.75" bestFit="1" customWidth="1"/>
    <col min="7" max="7" width="10.5" bestFit="1" customWidth="1"/>
    <col min="8" max="9" width="11.625" bestFit="1" customWidth="1"/>
    <col min="10" max="10" width="12.75" bestFit="1" customWidth="1"/>
    <col min="11" max="11" width="11.375" bestFit="1" customWidth="1"/>
    <col min="12" max="12" width="10.625" bestFit="1" customWidth="1"/>
    <col min="13" max="13" width="11" bestFit="1" customWidth="1"/>
    <col min="14" max="14" width="9.375" bestFit="1" customWidth="1"/>
    <col min="15" max="15" width="9.625" bestFit="1" customWidth="1"/>
    <col min="16" max="16" width="9.25" bestFit="1" customWidth="1"/>
    <col min="17" max="17" width="21" bestFit="1" customWidth="1"/>
    <col min="18" max="18" width="16.875" bestFit="1" customWidth="1"/>
  </cols>
  <sheetData>
    <row r="1" spans="1:10">
      <c r="A1" s="1" t="s">
        <v>14</v>
      </c>
      <c r="F1" s="1" t="s">
        <v>15</v>
      </c>
    </row>
    <row r="2" spans="1:10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0">
      <c r="A3" t="s">
        <v>21</v>
      </c>
      <c r="B3">
        <v>40214.453999999998</v>
      </c>
      <c r="C3">
        <v>40877.660000000003</v>
      </c>
      <c r="D3">
        <v>40850.033000000003</v>
      </c>
      <c r="E3">
        <f>AVERAGE(B3:D3)</f>
        <v>40647.382333333335</v>
      </c>
      <c r="F3" t="s">
        <v>21</v>
      </c>
      <c r="G3">
        <v>29275.563999999998</v>
      </c>
      <c r="H3">
        <v>29459.863000000001</v>
      </c>
      <c r="I3">
        <v>29681.133000000002</v>
      </c>
      <c r="J3">
        <f>AVERAGE(G3:I3)</f>
        <v>29472.186666666665</v>
      </c>
    </row>
    <row r="4" spans="1:10">
      <c r="A4" t="s">
        <v>22</v>
      </c>
      <c r="B4">
        <v>130021.28599999999</v>
      </c>
      <c r="C4">
        <v>131403.27299999999</v>
      </c>
      <c r="D4">
        <v>144215.35699999999</v>
      </c>
      <c r="E4">
        <f t="shared" ref="E4:E8" si="0">AVERAGE(B4:D4)</f>
        <v>135213.30533333332</v>
      </c>
      <c r="F4" t="s">
        <v>22</v>
      </c>
      <c r="G4">
        <v>96132.342000000004</v>
      </c>
      <c r="H4">
        <v>90842.312000000005</v>
      </c>
      <c r="I4">
        <v>99998.157000000007</v>
      </c>
      <c r="J4">
        <f t="shared" ref="J4:J8" si="1">AVERAGE(G4:I4)</f>
        <v>95657.603666666662</v>
      </c>
    </row>
    <row r="5" spans="1:10">
      <c r="A5" t="s">
        <v>23</v>
      </c>
      <c r="B5">
        <v>5770.3980000000001</v>
      </c>
      <c r="C5">
        <v>5289.6989999999996</v>
      </c>
      <c r="D5">
        <v>5583.7389999999996</v>
      </c>
      <c r="E5">
        <f t="shared" si="0"/>
        <v>5547.9453333333331</v>
      </c>
      <c r="F5" t="s">
        <v>23</v>
      </c>
      <c r="G5">
        <v>8147.3010000000004</v>
      </c>
      <c r="H5">
        <v>5787.7359999999999</v>
      </c>
      <c r="I5">
        <v>5777.4359999999997</v>
      </c>
      <c r="J5">
        <f t="shared" si="1"/>
        <v>6570.824333333333</v>
      </c>
    </row>
    <row r="6" spans="1:10">
      <c r="A6" t="s">
        <v>24</v>
      </c>
      <c r="B6">
        <v>0</v>
      </c>
      <c r="C6">
        <v>0</v>
      </c>
      <c r="D6">
        <v>0</v>
      </c>
      <c r="E6">
        <f t="shared" si="0"/>
        <v>0</v>
      </c>
      <c r="F6" t="s">
        <v>24</v>
      </c>
      <c r="G6">
        <v>0</v>
      </c>
      <c r="H6">
        <v>0</v>
      </c>
      <c r="I6">
        <v>0</v>
      </c>
      <c r="J6">
        <f t="shared" si="1"/>
        <v>0</v>
      </c>
    </row>
    <row r="7" spans="1:10">
      <c r="A7" t="s">
        <v>25</v>
      </c>
      <c r="B7">
        <v>26576.455999999998</v>
      </c>
      <c r="C7">
        <v>25674.129000000001</v>
      </c>
      <c r="D7">
        <v>24883.633000000002</v>
      </c>
      <c r="E7">
        <f t="shared" si="0"/>
        <v>25711.405999999999</v>
      </c>
      <c r="F7" t="s">
        <v>25</v>
      </c>
      <c r="G7">
        <v>26671.143</v>
      </c>
      <c r="H7">
        <v>26922.511999999999</v>
      </c>
      <c r="I7">
        <v>28751.391</v>
      </c>
      <c r="J7">
        <f t="shared" si="1"/>
        <v>27448.348666666669</v>
      </c>
    </row>
    <row r="8" spans="1:10">
      <c r="A8" t="s">
        <v>26</v>
      </c>
      <c r="B8">
        <v>202582.59400000001</v>
      </c>
      <c r="C8">
        <v>203244.761</v>
      </c>
      <c r="D8">
        <v>215532.76199999999</v>
      </c>
      <c r="E8">
        <f t="shared" si="0"/>
        <v>207120.03899999999</v>
      </c>
      <c r="F8" t="s">
        <v>26</v>
      </c>
      <c r="G8">
        <v>160226.35</v>
      </c>
      <c r="H8">
        <v>153012.42300000001</v>
      </c>
      <c r="I8">
        <v>164208.117</v>
      </c>
      <c r="J8">
        <f t="shared" si="1"/>
        <v>159148.96333333335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3060-A501-4316-8598-028B19BEFF8C}">
  <dimension ref="A1:K10"/>
  <sheetViews>
    <sheetView workbookViewId="0">
      <selection activeCell="E3" sqref="E3:E8"/>
    </sheetView>
  </sheetViews>
  <sheetFormatPr defaultRowHeight="16.5"/>
  <cols>
    <col min="1" max="1" width="11.375" bestFit="1" customWidth="1"/>
    <col min="2" max="2" width="11.625" bestFit="1" customWidth="1"/>
    <col min="3" max="3" width="11" bestFit="1" customWidth="1"/>
    <col min="4" max="4" width="11.625" bestFit="1" customWidth="1"/>
    <col min="5" max="5" width="12.75" bestFit="1" customWidth="1"/>
    <col min="6" max="6" width="9.25" bestFit="1" customWidth="1"/>
    <col min="7" max="7" width="11.625" bestFit="1" customWidth="1"/>
    <col min="8" max="8" width="16.875" bestFit="1" customWidth="1"/>
    <col min="9" max="9" width="11.625" bestFit="1" customWidth="1"/>
    <col min="10" max="10" width="12.75" bestFit="1" customWidth="1"/>
    <col min="11" max="11" width="11.375" bestFit="1" customWidth="1"/>
    <col min="12" max="12" width="6.25" bestFit="1" customWidth="1"/>
    <col min="13" max="13" width="11" bestFit="1" customWidth="1"/>
    <col min="14" max="14" width="6.375" bestFit="1" customWidth="1"/>
    <col min="15" max="15" width="9.625" bestFit="1" customWidth="1"/>
    <col min="16" max="16" width="9.25" bestFit="1" customWidth="1"/>
    <col min="17" max="17" width="21" bestFit="1" customWidth="1"/>
    <col min="18" max="18" width="16.875" bestFit="1" customWidth="1"/>
  </cols>
  <sheetData>
    <row r="1" spans="1:11">
      <c r="A1" s="1" t="s">
        <v>14</v>
      </c>
      <c r="F1" s="1" t="s">
        <v>15</v>
      </c>
      <c r="K1" s="1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1">
      <c r="A3" t="s">
        <v>21</v>
      </c>
      <c r="B3">
        <v>41364.572999999997</v>
      </c>
      <c r="C3">
        <v>30327.494999999999</v>
      </c>
      <c r="D3">
        <v>40669.232000000004</v>
      </c>
      <c r="E3">
        <f>AVERAGE(B3:D3)</f>
        <v>37453.76666666667</v>
      </c>
      <c r="F3" t="s">
        <v>21</v>
      </c>
      <c r="G3">
        <v>29358.196</v>
      </c>
      <c r="H3">
        <v>29463.397000000001</v>
      </c>
      <c r="I3">
        <v>29619.367999999999</v>
      </c>
      <c r="J3">
        <f>AVERAGE(G3:I3)</f>
        <v>29480.320333333333</v>
      </c>
    </row>
    <row r="4" spans="1:11">
      <c r="A4" t="s">
        <v>22</v>
      </c>
      <c r="B4">
        <v>126820.838</v>
      </c>
      <c r="C4">
        <v>125999.238</v>
      </c>
      <c r="D4">
        <v>129505.139</v>
      </c>
      <c r="E4">
        <f t="shared" ref="E4:E8" si="0">AVERAGE(B4:D4)</f>
        <v>127441.73833333333</v>
      </c>
      <c r="F4" t="s">
        <v>22</v>
      </c>
      <c r="G4">
        <v>89228.563999999998</v>
      </c>
      <c r="H4">
        <v>97119.634000000005</v>
      </c>
      <c r="I4">
        <v>98700.305999999997</v>
      </c>
      <c r="J4">
        <f t="shared" ref="J4:J8" si="1">AVERAGE(G4:I4)</f>
        <v>95016.168000000005</v>
      </c>
    </row>
    <row r="5" spans="1:11">
      <c r="A5" t="s">
        <v>23</v>
      </c>
      <c r="B5">
        <v>7895.2179999999998</v>
      </c>
      <c r="C5">
        <v>5636.4480000000003</v>
      </c>
      <c r="D5">
        <v>12789.931</v>
      </c>
      <c r="E5">
        <f t="shared" si="0"/>
        <v>8773.8656666666666</v>
      </c>
      <c r="F5" t="s">
        <v>23</v>
      </c>
      <c r="G5">
        <v>5765.6589999999997</v>
      </c>
      <c r="H5">
        <v>5771</v>
      </c>
      <c r="I5">
        <v>8169.7049999999999</v>
      </c>
      <c r="J5">
        <f t="shared" si="1"/>
        <v>6568.7880000000005</v>
      </c>
    </row>
    <row r="6" spans="1:11">
      <c r="A6" t="s">
        <v>24</v>
      </c>
      <c r="B6">
        <v>0</v>
      </c>
      <c r="C6">
        <v>0</v>
      </c>
      <c r="D6">
        <v>0</v>
      </c>
      <c r="E6">
        <f t="shared" si="0"/>
        <v>0</v>
      </c>
      <c r="F6" t="s">
        <v>24</v>
      </c>
      <c r="G6">
        <v>0</v>
      </c>
      <c r="H6">
        <v>0</v>
      </c>
      <c r="I6">
        <v>0</v>
      </c>
      <c r="J6">
        <f t="shared" si="1"/>
        <v>0</v>
      </c>
    </row>
    <row r="7" spans="1:11">
      <c r="A7" t="s">
        <v>25</v>
      </c>
      <c r="B7">
        <v>11829.48</v>
      </c>
      <c r="C7">
        <v>12047.499</v>
      </c>
      <c r="D7">
        <v>11546.814</v>
      </c>
      <c r="E7">
        <f t="shared" si="0"/>
        <v>11807.930999999999</v>
      </c>
      <c r="F7" t="s">
        <v>25</v>
      </c>
      <c r="G7">
        <v>12564.869000000001</v>
      </c>
      <c r="H7">
        <v>13581.201999999999</v>
      </c>
      <c r="I7">
        <v>13030.235000000001</v>
      </c>
      <c r="J7">
        <f t="shared" si="1"/>
        <v>13058.768666666665</v>
      </c>
    </row>
    <row r="8" spans="1:11">
      <c r="A8" t="s">
        <v>26</v>
      </c>
      <c r="B8">
        <v>187910.109</v>
      </c>
      <c r="C8">
        <v>174010.68</v>
      </c>
      <c r="D8">
        <v>194511.11600000001</v>
      </c>
      <c r="E8">
        <f t="shared" si="0"/>
        <v>185477.30166666667</v>
      </c>
      <c r="F8" t="s">
        <v>26</v>
      </c>
      <c r="G8">
        <v>136917.288</v>
      </c>
      <c r="H8">
        <v>145935.23300000001</v>
      </c>
      <c r="I8">
        <v>149519.614</v>
      </c>
      <c r="J8">
        <f t="shared" si="1"/>
        <v>144124.04500000001</v>
      </c>
    </row>
    <row r="10" spans="1:11">
      <c r="A1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E605-C929-4C55-88C2-28DB278B635B}">
  <dimension ref="A1:K8"/>
  <sheetViews>
    <sheetView tabSelected="1" workbookViewId="0">
      <selection activeCell="J3" sqref="J3:J8"/>
    </sheetView>
  </sheetViews>
  <sheetFormatPr defaultRowHeight="16.5"/>
  <cols>
    <col min="1" max="1" width="11.375" bestFit="1" customWidth="1"/>
    <col min="2" max="2" width="11.625" bestFit="1" customWidth="1"/>
    <col min="3" max="3" width="11" bestFit="1" customWidth="1"/>
    <col min="4" max="4" width="11.625" bestFit="1" customWidth="1"/>
    <col min="5" max="5" width="12.75" bestFit="1" customWidth="1"/>
    <col min="6" max="6" width="9.25" bestFit="1" customWidth="1"/>
    <col min="7" max="9" width="11.625" bestFit="1" customWidth="1"/>
    <col min="10" max="10" width="12.75" bestFit="1" customWidth="1"/>
    <col min="11" max="11" width="11.375" bestFit="1" customWidth="1"/>
    <col min="12" max="12" width="6.25" bestFit="1" customWidth="1"/>
    <col min="13" max="13" width="11" bestFit="1" customWidth="1"/>
    <col min="14" max="14" width="6.375" bestFit="1" customWidth="1"/>
    <col min="15" max="15" width="9.625" bestFit="1" customWidth="1"/>
    <col min="16" max="16" width="9.25" bestFit="1" customWidth="1"/>
    <col min="17" max="17" width="21" bestFit="1" customWidth="1"/>
    <col min="18" max="18" width="16.875" bestFit="1" customWidth="1"/>
  </cols>
  <sheetData>
    <row r="1" spans="1:11">
      <c r="A1" s="1" t="s">
        <v>14</v>
      </c>
      <c r="F1" s="1" t="s">
        <v>15</v>
      </c>
      <c r="K1" s="1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1">
      <c r="A3" t="s">
        <v>21</v>
      </c>
      <c r="B3">
        <v>40845.455999999998</v>
      </c>
      <c r="C3">
        <v>40767.031999999999</v>
      </c>
      <c r="D3">
        <v>31286.514999999999</v>
      </c>
      <c r="E3">
        <f>AVERAGE(B3:D3)</f>
        <v>37633.000999999997</v>
      </c>
      <c r="F3" t="s">
        <v>21</v>
      </c>
      <c r="G3">
        <v>29562.819</v>
      </c>
      <c r="H3">
        <v>29084.952000000001</v>
      </c>
      <c r="I3">
        <v>29180.098000000002</v>
      </c>
      <c r="J3">
        <f>AVERAGE(G3:I3)</f>
        <v>29275.956333333335</v>
      </c>
    </row>
    <row r="4" spans="1:11">
      <c r="A4" t="s">
        <v>22</v>
      </c>
      <c r="B4">
        <v>137782.48199999999</v>
      </c>
      <c r="C4">
        <v>136402.932</v>
      </c>
      <c r="D4">
        <v>124353.372</v>
      </c>
      <c r="E4">
        <f t="shared" ref="E4:E8" si="0">AVERAGE(B4:D4)</f>
        <v>132846.26199999999</v>
      </c>
      <c r="F4" t="s">
        <v>22</v>
      </c>
      <c r="G4">
        <v>89354.345000000001</v>
      </c>
      <c r="H4">
        <v>97388.98</v>
      </c>
      <c r="I4">
        <v>89328.532999999996</v>
      </c>
      <c r="J4">
        <f t="shared" ref="J4:J8" si="1">AVERAGE(G4:I4)</f>
        <v>92023.952666666664</v>
      </c>
    </row>
    <row r="5" spans="1:11">
      <c r="A5" t="s">
        <v>23</v>
      </c>
      <c r="B5">
        <v>3579.2350000000001</v>
      </c>
      <c r="C5">
        <v>9877.3109999999997</v>
      </c>
      <c r="D5">
        <v>9691.5010000000002</v>
      </c>
      <c r="E5">
        <f t="shared" si="0"/>
        <v>7716.0156666666662</v>
      </c>
      <c r="F5" t="s">
        <v>23</v>
      </c>
      <c r="G5">
        <v>8236.4560000000001</v>
      </c>
      <c r="H5">
        <v>5843.2969999999996</v>
      </c>
      <c r="I5">
        <v>6074.0010000000002</v>
      </c>
      <c r="J5">
        <f t="shared" si="1"/>
        <v>6717.9180000000006</v>
      </c>
    </row>
    <row r="6" spans="1:11">
      <c r="A6" t="s">
        <v>24</v>
      </c>
      <c r="B6">
        <v>74843.115000000005</v>
      </c>
      <c r="C6">
        <v>76800.657000000007</v>
      </c>
      <c r="D6">
        <v>83605.626000000004</v>
      </c>
      <c r="E6">
        <f t="shared" si="0"/>
        <v>78416.466</v>
      </c>
      <c r="F6" t="s">
        <v>24</v>
      </c>
      <c r="G6">
        <v>89372.755999999994</v>
      </c>
      <c r="H6">
        <v>83786.02</v>
      </c>
      <c r="I6">
        <v>78087.487999999998</v>
      </c>
      <c r="J6">
        <f t="shared" si="1"/>
        <v>83748.754666666675</v>
      </c>
    </row>
    <row r="7" spans="1:11">
      <c r="A7" t="s">
        <v>25</v>
      </c>
      <c r="B7">
        <v>24804.156999999999</v>
      </c>
      <c r="C7">
        <v>27840.756000000001</v>
      </c>
      <c r="D7">
        <v>25606.829000000002</v>
      </c>
      <c r="E7">
        <f t="shared" si="0"/>
        <v>26083.914000000001</v>
      </c>
      <c r="F7" t="s">
        <v>25</v>
      </c>
      <c r="G7">
        <v>27034.107</v>
      </c>
      <c r="H7">
        <v>28111.833999999999</v>
      </c>
      <c r="I7">
        <v>27990.115000000002</v>
      </c>
      <c r="J7">
        <f t="shared" si="1"/>
        <v>27712.018666666667</v>
      </c>
    </row>
    <row r="8" spans="1:11">
      <c r="A8" t="s">
        <v>26</v>
      </c>
      <c r="B8">
        <v>281854.44500000001</v>
      </c>
      <c r="C8">
        <v>291688.68800000002</v>
      </c>
      <c r="D8">
        <v>274543.84299999999</v>
      </c>
      <c r="E8">
        <f t="shared" si="0"/>
        <v>282695.65866666666</v>
      </c>
      <c r="F8" t="s">
        <v>26</v>
      </c>
      <c r="G8">
        <v>243560.48300000001</v>
      </c>
      <c r="H8">
        <v>244215.08300000001</v>
      </c>
      <c r="I8">
        <v>230660.23499999999</v>
      </c>
      <c r="J8">
        <f t="shared" si="1"/>
        <v>239478.60033333334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76A17-9D38-4A65-9514-AE6DA63BE45D}">
  <dimension ref="A1:K8"/>
  <sheetViews>
    <sheetView workbookViewId="0">
      <selection activeCell="J3" sqref="J3:J8"/>
    </sheetView>
  </sheetViews>
  <sheetFormatPr defaultRowHeight="16.5"/>
  <cols>
    <col min="1" max="1" width="11.375" bestFit="1" customWidth="1"/>
    <col min="2" max="4" width="11.625" bestFit="1" customWidth="1"/>
    <col min="5" max="5" width="9.625" bestFit="1" customWidth="1"/>
    <col min="6" max="6" width="8.75" bestFit="1" customWidth="1"/>
    <col min="7" max="9" width="11.625" bestFit="1" customWidth="1"/>
    <col min="11" max="11" width="11.375" bestFit="1" customWidth="1"/>
    <col min="12" max="12" width="6.25" bestFit="1" customWidth="1"/>
    <col min="13" max="13" width="11" bestFit="1" customWidth="1"/>
    <col min="14" max="14" width="6.375" bestFit="1" customWidth="1"/>
    <col min="15" max="15" width="9.625" bestFit="1" customWidth="1"/>
    <col min="16" max="16" width="9.25" bestFit="1" customWidth="1"/>
    <col min="17" max="17" width="21" bestFit="1" customWidth="1"/>
    <col min="18" max="18" width="16.875" bestFit="1" customWidth="1"/>
  </cols>
  <sheetData>
    <row r="1" spans="1:11">
      <c r="A1" s="1" t="s">
        <v>14</v>
      </c>
      <c r="F1" s="1" t="s">
        <v>15</v>
      </c>
      <c r="K1" s="1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1">
      <c r="A3" t="s">
        <v>21</v>
      </c>
      <c r="B3">
        <v>40472.334999999999</v>
      </c>
      <c r="C3">
        <v>40883.169000000002</v>
      </c>
      <c r="D3">
        <v>40387.870999999999</v>
      </c>
      <c r="E3">
        <f>AVERAGE(B3:D3)</f>
        <v>40581.125</v>
      </c>
      <c r="F3" t="s">
        <v>21</v>
      </c>
      <c r="G3">
        <v>29961.588</v>
      </c>
      <c r="H3">
        <v>29162.948</v>
      </c>
      <c r="I3">
        <v>29073.201000000001</v>
      </c>
      <c r="J3">
        <f>AVERAGE(G3:I3)</f>
        <v>29399.245666666666</v>
      </c>
    </row>
    <row r="4" spans="1:11">
      <c r="A4" t="s">
        <v>22</v>
      </c>
      <c r="B4">
        <v>122641.652</v>
      </c>
      <c r="C4">
        <v>136241.872</v>
      </c>
      <c r="D4">
        <v>138155.50200000001</v>
      </c>
      <c r="E4">
        <f t="shared" ref="E4:E8" si="0">AVERAGE(B4:D4)</f>
        <v>132346.342</v>
      </c>
      <c r="F4" t="s">
        <v>22</v>
      </c>
      <c r="G4">
        <v>91820.680999999997</v>
      </c>
      <c r="H4">
        <v>92111.028999999995</v>
      </c>
      <c r="I4">
        <v>100394.41</v>
      </c>
      <c r="J4">
        <f t="shared" ref="J4:J8" si="1">AVERAGE(G4:I4)</f>
        <v>94775.373333333337</v>
      </c>
    </row>
    <row r="5" spans="1:11">
      <c r="A5" t="s">
        <v>23</v>
      </c>
      <c r="B5">
        <v>7477.3159999999998</v>
      </c>
      <c r="C5">
        <v>14617.633</v>
      </c>
      <c r="D5">
        <v>10308.735000000001</v>
      </c>
      <c r="E5">
        <f t="shared" si="0"/>
        <v>10801.228000000001</v>
      </c>
      <c r="F5" t="s">
        <v>23</v>
      </c>
      <c r="G5">
        <v>8280.0849999999991</v>
      </c>
      <c r="H5">
        <v>8216.4680000000008</v>
      </c>
      <c r="I5">
        <v>6004.3850000000002</v>
      </c>
      <c r="J5">
        <f t="shared" si="1"/>
        <v>7500.3126666666676</v>
      </c>
    </row>
    <row r="6" spans="1:11">
      <c r="A6" t="s">
        <v>24</v>
      </c>
      <c r="B6">
        <v>195965.16</v>
      </c>
      <c r="C6">
        <v>196587.48</v>
      </c>
      <c r="D6">
        <v>201759.696</v>
      </c>
      <c r="E6">
        <f t="shared" si="0"/>
        <v>198104.11199999999</v>
      </c>
      <c r="F6" t="s">
        <v>24</v>
      </c>
      <c r="G6">
        <v>96575.93</v>
      </c>
      <c r="H6">
        <v>95299.354999999996</v>
      </c>
      <c r="I6">
        <v>94334.343999999997</v>
      </c>
      <c r="J6">
        <f t="shared" si="1"/>
        <v>95403.209666666648</v>
      </c>
    </row>
    <row r="7" spans="1:11">
      <c r="A7" t="s">
        <v>25</v>
      </c>
      <c r="B7">
        <v>24527.620999999999</v>
      </c>
      <c r="C7">
        <v>40146.055</v>
      </c>
      <c r="D7">
        <v>27839.797999999999</v>
      </c>
      <c r="E7">
        <f t="shared" si="0"/>
        <v>30837.824666666667</v>
      </c>
      <c r="F7" t="s">
        <v>25</v>
      </c>
      <c r="G7">
        <v>26650.705000000002</v>
      </c>
      <c r="H7">
        <v>26399.101999999999</v>
      </c>
      <c r="I7">
        <v>26614.437999999998</v>
      </c>
      <c r="J7">
        <f t="shared" si="1"/>
        <v>26554.748333333333</v>
      </c>
    </row>
    <row r="8" spans="1:11">
      <c r="A8" t="s">
        <v>26</v>
      </c>
      <c r="B8">
        <v>391084.08399999997</v>
      </c>
      <c r="C8">
        <v>428476.20899999997</v>
      </c>
      <c r="D8">
        <v>418451.60200000001</v>
      </c>
      <c r="E8">
        <f t="shared" si="0"/>
        <v>412670.63166666665</v>
      </c>
      <c r="F8" t="s">
        <v>26</v>
      </c>
      <c r="G8">
        <v>253288.989</v>
      </c>
      <c r="H8">
        <v>251188.902</v>
      </c>
      <c r="I8">
        <v>256420.77799999999</v>
      </c>
      <c r="J8">
        <f t="shared" si="1"/>
        <v>253632.88966666666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07CDA-1262-4819-8736-3A58B894A218}">
  <dimension ref="A1:K8"/>
  <sheetViews>
    <sheetView workbookViewId="0">
      <selection activeCell="J3" sqref="J3:J8"/>
    </sheetView>
  </sheetViews>
  <sheetFormatPr defaultRowHeight="16.5"/>
  <cols>
    <col min="1" max="1" width="11.375" bestFit="1" customWidth="1"/>
    <col min="2" max="4" width="11.625" bestFit="1" customWidth="1"/>
    <col min="5" max="5" width="12.75" bestFit="1" customWidth="1"/>
    <col min="6" max="6" width="9.25" bestFit="1" customWidth="1"/>
    <col min="7" max="8" width="11.625" bestFit="1" customWidth="1"/>
    <col min="9" max="9" width="10.5" bestFit="1" customWidth="1"/>
    <col min="10" max="10" width="12.75" bestFit="1" customWidth="1"/>
    <col min="11" max="11" width="11.375" bestFit="1" customWidth="1"/>
    <col min="12" max="12" width="6.25" bestFit="1" customWidth="1"/>
    <col min="13" max="13" width="11" bestFit="1" customWidth="1"/>
    <col min="14" max="14" width="6.375" bestFit="1" customWidth="1"/>
    <col min="15" max="15" width="9.625" bestFit="1" customWidth="1"/>
    <col min="16" max="16" width="9.25" bestFit="1" customWidth="1"/>
    <col min="17" max="17" width="21" bestFit="1" customWidth="1"/>
    <col min="18" max="18" width="16.875" bestFit="1" customWidth="1"/>
  </cols>
  <sheetData>
    <row r="1" spans="1:11">
      <c r="A1" s="1" t="s">
        <v>14</v>
      </c>
      <c r="F1" s="1" t="s">
        <v>15</v>
      </c>
      <c r="K1" s="1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1">
      <c r="A3" t="s">
        <v>21</v>
      </c>
      <c r="B3">
        <v>41117.355000000003</v>
      </c>
      <c r="C3">
        <v>40972.508000000002</v>
      </c>
      <c r="D3">
        <v>40050.597000000002</v>
      </c>
      <c r="E3">
        <f>AVERAGE(B3:D3)</f>
        <v>40713.486666666671</v>
      </c>
      <c r="F3" t="s">
        <v>21</v>
      </c>
      <c r="G3">
        <v>29565.164000000001</v>
      </c>
      <c r="H3">
        <v>29679.124</v>
      </c>
      <c r="I3">
        <v>29519.896000000001</v>
      </c>
      <c r="J3">
        <f>AVERAGE(G3:I3)</f>
        <v>29588.061333333335</v>
      </c>
    </row>
    <row r="4" spans="1:11">
      <c r="A4" t="s">
        <v>22</v>
      </c>
      <c r="B4">
        <v>133496.71299999999</v>
      </c>
      <c r="C4">
        <v>136550.834</v>
      </c>
      <c r="D4">
        <v>131907.27299999999</v>
      </c>
      <c r="E4">
        <f t="shared" ref="E4:E8" si="0">AVERAGE(B4:D4)</f>
        <v>133984.94</v>
      </c>
      <c r="F4" t="s">
        <v>22</v>
      </c>
      <c r="G4">
        <v>87103.880999999994</v>
      </c>
      <c r="H4">
        <v>95612.294999999998</v>
      </c>
      <c r="I4">
        <v>91817.375</v>
      </c>
      <c r="J4">
        <f t="shared" ref="J4:J8" si="1">AVERAGE(G4:I4)</f>
        <v>91511.183666666664</v>
      </c>
    </row>
    <row r="5" spans="1:11">
      <c r="A5" t="s">
        <v>23</v>
      </c>
      <c r="B5">
        <v>5304.8609999999999</v>
      </c>
      <c r="C5">
        <v>7722.6189999999997</v>
      </c>
      <c r="D5">
        <v>5232.0540000000001</v>
      </c>
      <c r="E5">
        <f t="shared" si="0"/>
        <v>6086.5113333333329</v>
      </c>
      <c r="F5" t="s">
        <v>23</v>
      </c>
      <c r="G5">
        <v>8146.3059999999996</v>
      </c>
      <c r="H5">
        <v>8249.0249999999996</v>
      </c>
      <c r="I5">
        <v>8120.1719999999996</v>
      </c>
      <c r="J5">
        <f t="shared" si="1"/>
        <v>8171.8343333333323</v>
      </c>
    </row>
    <row r="6" spans="1:11">
      <c r="A6" t="s">
        <v>24</v>
      </c>
      <c r="B6">
        <v>65553.141000000003</v>
      </c>
      <c r="C6">
        <v>64280.014000000003</v>
      </c>
      <c r="D6">
        <v>58778.627999999997</v>
      </c>
      <c r="E6">
        <f t="shared" si="0"/>
        <v>62870.594333333334</v>
      </c>
      <c r="F6" t="s">
        <v>24</v>
      </c>
      <c r="G6">
        <v>51836.576999999997</v>
      </c>
      <c r="H6">
        <v>53839.923000000003</v>
      </c>
      <c r="I6">
        <v>56252.544999999998</v>
      </c>
      <c r="J6">
        <f t="shared" si="1"/>
        <v>53976.348333333328</v>
      </c>
    </row>
    <row r="7" spans="1:11">
      <c r="A7" t="s">
        <v>25</v>
      </c>
      <c r="B7">
        <v>26741.987000000001</v>
      </c>
      <c r="C7">
        <v>26631.08</v>
      </c>
      <c r="D7">
        <v>25878.304</v>
      </c>
      <c r="E7">
        <f t="shared" si="0"/>
        <v>26417.123666666666</v>
      </c>
      <c r="F7" t="s">
        <v>25</v>
      </c>
      <c r="G7">
        <v>25856.107</v>
      </c>
      <c r="H7">
        <v>28984.83</v>
      </c>
      <c r="I7">
        <v>26930.822</v>
      </c>
      <c r="J7">
        <f t="shared" si="1"/>
        <v>27257.253000000001</v>
      </c>
    </row>
    <row r="8" spans="1:11">
      <c r="A8" t="s">
        <v>26</v>
      </c>
      <c r="B8">
        <v>272214.05699999997</v>
      </c>
      <c r="C8">
        <v>276157.05499999999</v>
      </c>
      <c r="D8">
        <v>261846.856</v>
      </c>
      <c r="E8">
        <f t="shared" si="0"/>
        <v>270072.65600000002</v>
      </c>
      <c r="F8" t="s">
        <v>26</v>
      </c>
      <c r="G8">
        <v>202508.035</v>
      </c>
      <c r="H8">
        <v>216365.19699999999</v>
      </c>
      <c r="I8">
        <v>212640.81</v>
      </c>
      <c r="J8">
        <f t="shared" si="1"/>
        <v>210504.68066666662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8B0047083E30A49ADB79588B6AF0D1E" ma:contentTypeVersion="3" ma:contentTypeDescription="새 문서를 만듭니다." ma:contentTypeScope="" ma:versionID="852e16e47eeedee0bf037c3397692532">
  <xsd:schema xmlns:xsd="http://www.w3.org/2001/XMLSchema" xmlns:xs="http://www.w3.org/2001/XMLSchema" xmlns:p="http://schemas.microsoft.com/office/2006/metadata/properties" xmlns:ns2="3c49ac0e-e626-4a56-9dfc-0e4f03e33ee5" targetNamespace="http://schemas.microsoft.com/office/2006/metadata/properties" ma:root="true" ma:fieldsID="4997257799170a64ac0dc7b014df088d" ns2:_="">
    <xsd:import namespace="3c49ac0e-e626-4a56-9dfc-0e4f03e33e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9ac0e-e626-4a56-9dfc-0e4f03e33e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A51984-64B0-425C-B786-3C783F142C02}"/>
</file>

<file path=customXml/itemProps2.xml><?xml version="1.0" encoding="utf-8"?>
<ds:datastoreItem xmlns:ds="http://schemas.openxmlformats.org/officeDocument/2006/customXml" ds:itemID="{4B975E88-3077-451A-9E4E-53234CBB4D33}"/>
</file>

<file path=customXml/itemProps3.xml><?xml version="1.0" encoding="utf-8"?>
<ds:datastoreItem xmlns:ds="http://schemas.openxmlformats.org/officeDocument/2006/customXml" ds:itemID="{629DDF98-FDC3-49FD-9CBA-803DB67BFF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전현일/컴퓨터·AI학부(2021111980)</dc:creator>
  <cp:keywords/>
  <dc:description/>
  <cp:lastModifiedBy>전현일/컴퓨터·AI학부(2021111980)</cp:lastModifiedBy>
  <cp:revision/>
  <dcterms:created xsi:type="dcterms:W3CDTF">2026-07-15T10:34:45Z</dcterms:created>
  <dcterms:modified xsi:type="dcterms:W3CDTF">2026-07-16T05:39:56Z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0x01010098B0047083E30A49ADB79588B6AF0D1E</vt:lpwstr>
  </property>
</Properties>
</file>