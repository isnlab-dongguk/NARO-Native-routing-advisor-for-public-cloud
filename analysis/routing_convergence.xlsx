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eps\Downloads\"/>
    </mc:Choice>
  </mc:AlternateContent>
  <xr:revisionPtr revIDLastSave="0" documentId="8_{37560A52-2406-4E79-B384-629C921C5B4C}" xr6:coauthVersionLast="47" xr6:coauthVersionMax="47" xr10:uidLastSave="{00000000-0000-0000-0000-000000000000}"/>
  <bookViews>
    <workbookView xWindow="28680" yWindow="-120" windowWidth="29040" windowHeight="15720" xr2:uid="{D3EFA9ED-C364-4F55-B764-708756BCC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5" i="1" l="1"/>
  <c r="O25" i="1"/>
  <c r="N25" i="1"/>
  <c r="J25" i="1"/>
  <c r="I25" i="1"/>
  <c r="H25" i="1"/>
  <c r="C25" i="1"/>
  <c r="D25" i="1"/>
  <c r="B25" i="1"/>
  <c r="F4" i="1"/>
  <c r="F5" i="1"/>
  <c r="F3" i="1"/>
</calcChain>
</file>

<file path=xl/sharedStrings.xml><?xml version="1.0" encoding="utf-8"?>
<sst xmlns="http://schemas.openxmlformats.org/spreadsheetml/2006/main" count="39" uniqueCount="18">
  <si>
    <t>STATIC</t>
    <phoneticPr fontId="1" type="noConversion"/>
  </si>
  <si>
    <t>DYNAMIC</t>
    <phoneticPr fontId="1" type="noConversion"/>
  </si>
  <si>
    <t>CLOUD</t>
    <phoneticPr fontId="1" type="noConversion"/>
  </si>
  <si>
    <t>4node×1p</t>
    <phoneticPr fontId="1" type="noConversion"/>
  </si>
  <si>
    <t>4node×50p</t>
    <phoneticPr fontId="1" type="noConversion"/>
  </si>
  <si>
    <t>8node×1p</t>
    <phoneticPr fontId="1" type="noConversion"/>
  </si>
  <si>
    <t>8node×50p</t>
    <phoneticPr fontId="1" type="noConversion"/>
  </si>
  <si>
    <t>Average</t>
    <phoneticPr fontId="1" type="noConversion"/>
  </si>
  <si>
    <t>T0-T1</t>
    <phoneticPr fontId="1" type="noConversion"/>
  </si>
  <si>
    <t>T1-T2</t>
    <phoneticPr fontId="1" type="noConversion"/>
  </si>
  <si>
    <t>T0-T2</t>
    <phoneticPr fontId="1" type="noConversion"/>
  </si>
  <si>
    <t>실험3</t>
    <phoneticPr fontId="1" type="noConversion"/>
  </si>
  <si>
    <t>Dynamic</t>
    <phoneticPr fontId="1" type="noConversion"/>
  </si>
  <si>
    <t>Cloud</t>
    <phoneticPr fontId="1" type="noConversion"/>
  </si>
  <si>
    <t>Static</t>
    <phoneticPr fontId="1" type="noConversion"/>
  </si>
  <si>
    <t>T0: native routing을 위한 VPC 마지막 task(① Static: 마지막 정적 경로 추가, ② Dynamic: 마지막 cloud router의 첫 번째 peer 등록[두 번째 peer 등록은 T0 이후에], ③ Cloud: Alias IP를 VM에 등록)</t>
    <phoneticPr fontId="1" type="noConversion"/>
  </si>
  <si>
    <t>T2: TCP probe의 첫 번째 packet 응답(packet loss가 사라진 지점)</t>
    <phoneticPr fontId="1" type="noConversion"/>
  </si>
  <si>
    <t>T1: VPC task에 쓰인 gcloud 호출에 대한 마지막 응답 반환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</si>
</sst>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라우팅 수렴 시간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9B-4130-8F1C-BFA801C63D79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A9B-4130-8F1C-BFA801C63D79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9B-4130-8F1C-BFA801C63D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3"/>
                <c:pt idx="0">
                  <c:v>STATIC</c:v>
                </c:pt>
                <c:pt idx="1">
                  <c:v>DYNAMIC</c:v>
                </c:pt>
                <c:pt idx="2">
                  <c:v>CLOUD</c:v>
                </c:pt>
              </c:strCache>
            </c:strRef>
          </c:cat>
          <c:val>
            <c:numRef>
              <c:f>Sheet1!$F$3:$F$5</c:f>
              <c:numCache>
                <c:formatCode>General</c:formatCode>
                <c:ptCount val="3"/>
                <c:pt idx="0">
                  <c:v>15638.333500000001</c:v>
                </c:pt>
                <c:pt idx="1">
                  <c:v>9769.3335000000006</c:v>
                </c:pt>
                <c:pt idx="2">
                  <c:v>4573.0834999999997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B-4130-8F1C-BFA801C63D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9574352"/>
        <c:axId val="265915328"/>
      </c:barChart>
      <c:catAx>
        <c:axId val="2495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5915328"/>
        <c:crosses val="autoZero"/>
        <c:auto val="1"/>
        <c:lblAlgn val="ctr"/>
        <c:lblOffset val="100"/>
        <c:noMultiLvlLbl val="0"/>
      </c:catAx>
      <c:valAx>
        <c:axId val="2659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957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5</xdr:row>
      <xdr:rowOff>19050</xdr:rowOff>
    </xdr:from>
    <xdr:to>
      <xdr:col>5</xdr:col>
      <xdr:colOff>876300</xdr:colOff>
      <xdr:row>18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656EE2A-99B3-788B-B778-71A480D15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FC35-A0AE-4683-870C-62A55B5049AD}">
  <dimension ref="A2:P25"/>
  <sheetViews>
    <sheetView tabSelected="1" workbookViewId="0">
      <selection activeCell="M11" sqref="M11"/>
    </sheetView>
  </sheetViews>
  <sheetFormatPr defaultRowHeight="16.5" x14ac:dyDescent="0.3"/>
  <cols>
    <col min="1" max="1" width="11.5" bestFit="1" customWidth="1"/>
    <col min="2" max="2" width="12.75" bestFit="1" customWidth="1"/>
    <col min="3" max="3" width="12.5" bestFit="1" customWidth="1"/>
    <col min="4" max="4" width="11.625" bestFit="1" customWidth="1"/>
    <col min="5" max="5" width="11.5" bestFit="1" customWidth="1"/>
    <col min="6" max="6" width="11.625" bestFit="1" customWidth="1"/>
    <col min="7" max="7" width="11.5" bestFit="1" customWidth="1"/>
    <col min="8" max="8" width="12.75" bestFit="1" customWidth="1"/>
    <col min="9" max="9" width="12.5" bestFit="1" customWidth="1"/>
    <col min="10" max="10" width="11.625" bestFit="1" customWidth="1"/>
    <col min="13" max="13" width="11.5" bestFit="1" customWidth="1"/>
    <col min="14" max="14" width="12.75" bestFit="1" customWidth="1"/>
    <col min="15" max="15" width="12.5" bestFit="1" customWidth="1"/>
    <col min="16" max="16" width="11.625" bestFit="1" customWidth="1"/>
  </cols>
  <sheetData>
    <row r="2" spans="1:9" x14ac:dyDescent="0.3">
      <c r="A2" s="2" t="s">
        <v>11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I2" s="3" t="s">
        <v>15</v>
      </c>
    </row>
    <row r="3" spans="1:9" x14ac:dyDescent="0.3">
      <c r="A3" s="1" t="s">
        <v>0</v>
      </c>
      <c r="B3" s="1">
        <v>14485.666999999999</v>
      </c>
      <c r="C3" s="1">
        <v>16201.666999999999</v>
      </c>
      <c r="D3" s="1">
        <v>15347</v>
      </c>
      <c r="E3" s="1">
        <v>16519</v>
      </c>
      <c r="F3" s="1">
        <f>AVERAGE(B3:E3)</f>
        <v>15638.333500000001</v>
      </c>
      <c r="I3" t="s">
        <v>17</v>
      </c>
    </row>
    <row r="4" spans="1:9" x14ac:dyDescent="0.3">
      <c r="A4" s="1" t="s">
        <v>1</v>
      </c>
      <c r="B4" s="1">
        <v>9244.6669999999995</v>
      </c>
      <c r="C4" s="1">
        <v>10388.333000000001</v>
      </c>
      <c r="D4" s="1">
        <v>8988.6669999999995</v>
      </c>
      <c r="E4" s="1">
        <v>10455.666999999999</v>
      </c>
      <c r="F4" s="1">
        <f t="shared" ref="F4:F5" si="0">AVERAGE(B4:E4)</f>
        <v>9769.3335000000006</v>
      </c>
      <c r="I4" t="s">
        <v>16</v>
      </c>
    </row>
    <row r="5" spans="1:9" x14ac:dyDescent="0.3">
      <c r="A5" s="1" t="s">
        <v>2</v>
      </c>
      <c r="B5" s="1">
        <v>4382.6670000000004</v>
      </c>
      <c r="C5" s="1">
        <v>4846.6670000000004</v>
      </c>
      <c r="D5" s="1">
        <v>4501.6670000000004</v>
      </c>
      <c r="E5" s="1">
        <v>4561.3329999999996</v>
      </c>
      <c r="F5" s="1">
        <f t="shared" si="0"/>
        <v>4573.0834999999997</v>
      </c>
    </row>
    <row r="6" spans="1:9" x14ac:dyDescent="0.3">
      <c r="A6" s="1"/>
      <c r="B6" s="1"/>
      <c r="C6" s="1"/>
      <c r="D6" s="1"/>
      <c r="E6" s="1"/>
      <c r="F6" s="1"/>
    </row>
    <row r="7" spans="1:9" x14ac:dyDescent="0.3">
      <c r="A7" s="1"/>
      <c r="B7" s="1"/>
      <c r="C7" s="1"/>
      <c r="D7" s="1"/>
      <c r="E7" s="1"/>
      <c r="F7" s="1"/>
    </row>
    <row r="8" spans="1:9" x14ac:dyDescent="0.3">
      <c r="A8" s="1"/>
      <c r="B8" s="1"/>
      <c r="C8" s="1"/>
      <c r="D8" s="1"/>
      <c r="E8" s="1"/>
      <c r="F8" s="1"/>
    </row>
    <row r="20" spans="1:16" x14ac:dyDescent="0.3">
      <c r="A20" s="2" t="s">
        <v>14</v>
      </c>
      <c r="B20" s="1" t="s">
        <v>8</v>
      </c>
      <c r="C20" s="1" t="s">
        <v>9</v>
      </c>
      <c r="D20" s="1" t="s">
        <v>10</v>
      </c>
      <c r="E20" s="1"/>
      <c r="F20" s="1"/>
      <c r="G20" s="2" t="s">
        <v>12</v>
      </c>
      <c r="H20" s="1" t="s">
        <v>8</v>
      </c>
      <c r="I20" s="1" t="s">
        <v>9</v>
      </c>
      <c r="J20" s="1" t="s">
        <v>10</v>
      </c>
      <c r="M20" s="2" t="s">
        <v>13</v>
      </c>
      <c r="N20" s="1" t="s">
        <v>8</v>
      </c>
      <c r="O20" s="1" t="s">
        <v>9</v>
      </c>
      <c r="P20" s="1" t="s">
        <v>10</v>
      </c>
    </row>
    <row r="21" spans="1:16" x14ac:dyDescent="0.3">
      <c r="A21" s="1" t="s">
        <v>3</v>
      </c>
      <c r="B21">
        <v>18162</v>
      </c>
      <c r="C21">
        <v>-3676.3330000000001</v>
      </c>
      <c r="D21">
        <v>14485.666999999999</v>
      </c>
      <c r="E21" s="1"/>
      <c r="F21" s="1"/>
      <c r="G21" s="1" t="s">
        <v>3</v>
      </c>
      <c r="H21">
        <v>14207.666999999999</v>
      </c>
      <c r="I21">
        <v>-4963</v>
      </c>
      <c r="J21">
        <v>9244.6669999999995</v>
      </c>
      <c r="M21" s="1" t="s">
        <v>3</v>
      </c>
      <c r="N21">
        <v>5052</v>
      </c>
      <c r="O21">
        <v>-669.33299999999997</v>
      </c>
      <c r="P21">
        <v>4382.6670000000004</v>
      </c>
    </row>
    <row r="22" spans="1:16" x14ac:dyDescent="0.3">
      <c r="A22" s="1" t="s">
        <v>4</v>
      </c>
      <c r="B22">
        <v>19792.667000000001</v>
      </c>
      <c r="C22">
        <v>-3591</v>
      </c>
      <c r="D22">
        <v>16201.666999999999</v>
      </c>
      <c r="E22" s="1"/>
      <c r="F22" s="1"/>
      <c r="G22" s="1" t="s">
        <v>4</v>
      </c>
      <c r="H22">
        <v>14591</v>
      </c>
      <c r="I22">
        <v>-4202.6670000000004</v>
      </c>
      <c r="J22">
        <v>10388.333000000001</v>
      </c>
      <c r="M22" s="1" t="s">
        <v>4</v>
      </c>
      <c r="N22">
        <v>5428.6670000000004</v>
      </c>
      <c r="O22">
        <v>-582</v>
      </c>
      <c r="P22">
        <v>4846.6670000000004</v>
      </c>
    </row>
    <row r="23" spans="1:16" x14ac:dyDescent="0.3">
      <c r="A23" s="1" t="s">
        <v>5</v>
      </c>
      <c r="B23">
        <v>18554.332999999999</v>
      </c>
      <c r="C23">
        <v>-3207.3330000000001</v>
      </c>
      <c r="D23">
        <v>15347</v>
      </c>
      <c r="E23" s="1"/>
      <c r="F23" s="1"/>
      <c r="G23" s="1" t="s">
        <v>5</v>
      </c>
      <c r="H23">
        <v>14958</v>
      </c>
      <c r="I23">
        <v>-5969.3329999999996</v>
      </c>
      <c r="J23">
        <v>8988.6669999999995</v>
      </c>
      <c r="M23" s="1" t="s">
        <v>5</v>
      </c>
      <c r="N23">
        <v>5142.3329999999996</v>
      </c>
      <c r="O23">
        <v>-640.66700000000003</v>
      </c>
      <c r="P23">
        <v>4501.6670000000004</v>
      </c>
    </row>
    <row r="24" spans="1:16" x14ac:dyDescent="0.3">
      <c r="A24" s="1" t="s">
        <v>6</v>
      </c>
      <c r="B24">
        <v>19275.667000000001</v>
      </c>
      <c r="C24">
        <v>-2756.6669999999999</v>
      </c>
      <c r="D24">
        <v>16519</v>
      </c>
      <c r="E24" s="1"/>
      <c r="F24" s="1"/>
      <c r="G24" s="1" t="s">
        <v>6</v>
      </c>
      <c r="H24">
        <v>13993.666999999999</v>
      </c>
      <c r="I24">
        <v>-3538</v>
      </c>
      <c r="J24">
        <v>10455.666999999999</v>
      </c>
      <c r="M24" s="1" t="s">
        <v>6</v>
      </c>
      <c r="N24">
        <v>5180</v>
      </c>
      <c r="O24">
        <v>-618.66700000000003</v>
      </c>
      <c r="P24">
        <v>4561.3329999999996</v>
      </c>
    </row>
    <row r="25" spans="1:16" x14ac:dyDescent="0.3">
      <c r="A25" s="1" t="s">
        <v>7</v>
      </c>
      <c r="B25" s="1">
        <f>AVERAGE(B21:B24)</f>
        <v>18946.16675</v>
      </c>
      <c r="C25" s="1">
        <f t="shared" ref="C25:D25" si="1">AVERAGE(C21:C24)</f>
        <v>-3307.8332500000001</v>
      </c>
      <c r="D25" s="1">
        <f t="shared" si="1"/>
        <v>15638.333500000001</v>
      </c>
      <c r="E25" s="1"/>
      <c r="F25" s="1"/>
      <c r="G25" s="1" t="s">
        <v>7</v>
      </c>
      <c r="H25" s="1">
        <f>AVERAGE(H21:H24)</f>
        <v>14437.583500000001</v>
      </c>
      <c r="I25" s="1">
        <f t="shared" ref="I25" si="2">AVERAGE(I21:I24)</f>
        <v>-4668.25</v>
      </c>
      <c r="J25" s="1">
        <f t="shared" ref="J25" si="3">AVERAGE(J21:J24)</f>
        <v>9769.3335000000006</v>
      </c>
      <c r="M25" s="1" t="s">
        <v>7</v>
      </c>
      <c r="N25" s="1">
        <f>AVERAGE(N21:N24)</f>
        <v>5200.75</v>
      </c>
      <c r="O25" s="1">
        <f t="shared" ref="O25" si="4">AVERAGE(O21:O24)</f>
        <v>-627.66674999999998</v>
      </c>
      <c r="P25" s="1">
        <f t="shared" ref="P25" si="5">AVERAGE(P21:P24)</f>
        <v>4573.0834999999997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8B0047083E30A49ADB79588B6AF0D1E" ma:contentTypeVersion="3" ma:contentTypeDescription="새 문서를 만듭니다." ma:contentTypeScope="" ma:versionID="852e16e47eeedee0bf037c3397692532">
  <xsd:schema xmlns:xsd="http://www.w3.org/2001/XMLSchema" xmlns:xs="http://www.w3.org/2001/XMLSchema" xmlns:p="http://schemas.microsoft.com/office/2006/metadata/properties" xmlns:ns2="3c49ac0e-e626-4a56-9dfc-0e4f03e33ee5" targetNamespace="http://schemas.microsoft.com/office/2006/metadata/properties" ma:root="true" ma:fieldsID="4997257799170a64ac0dc7b014df088d" ns2:_="">
    <xsd:import namespace="3c49ac0e-e626-4a56-9dfc-0e4f03e33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9ac0e-e626-4a56-9dfc-0e4f03e33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2B6E50-9FD4-4CFC-B555-DD75EAED38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3B256-019E-4EFF-B48B-B76BBFE94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9ac0e-e626-4a56-9dfc-0e4f03e33e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1B3503-B682-43C6-A497-BF357150179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전현일/컴퓨터·AI학부(2021111980)</dc:creator>
  <cp:lastModifiedBy>유연호/컴퓨터·AI학부</cp:lastModifiedBy>
  <dcterms:created xsi:type="dcterms:W3CDTF">2026-07-21T13:37:27Z</dcterms:created>
  <dcterms:modified xsi:type="dcterms:W3CDTF">2026-07-23T06:18:48Z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0x01010098B0047083E30A49ADB79588B6AF0D1E</vt:lpwstr>
  </property>
</Properties>
</file>